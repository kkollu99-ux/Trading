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tor" sheetId="1" state="visible" r:id="rId1"/>
    <sheet name="Scenarios" sheetId="2" state="visible" r:id="rId2"/>
    <sheet name="How it wor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0####"/>
    <numFmt numFmtId="165" formatCode="#,##0.00####;-#,##0.00####"/>
    <numFmt numFmtId="166" formatCode="#,##0.00;[Red]-#,##0.00"/>
    <numFmt numFmtId="167" formatCode="0.00%;[Red]-0.00%"/>
    <numFmt numFmtId="168" formatCode="0.0%;[Red]-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i val="1"/>
      <color rgb="005F6C84"/>
    </font>
    <font>
      <b val="1"/>
      <color rgb="00FFFFFF"/>
    </font>
    <font/>
    <font>
      <b val="1"/>
      <color rgb="000033CC"/>
    </font>
    <font>
      <b val="1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DCE9FF"/>
      </patternFill>
    </fill>
    <fill>
      <patternFill patternType="solid">
        <fgColor rgb="00E3F6EA"/>
      </patternFill>
    </fill>
  </fills>
  <borders count="2">
    <border>
      <left/>
      <right/>
      <top/>
      <bottom/>
      <diagonal/>
    </border>
    <border>
      <left style="thin">
        <color rgb="00C9D1E0"/>
      </left>
      <right style="thin">
        <color rgb="00C9D1E0"/>
      </right>
      <top style="thin">
        <color rgb="00C9D1E0"/>
      </top>
      <bottom style="thin">
        <color rgb="00C9D1E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4" fillId="0" borderId="1" pivotButton="0" quotePrefix="0" xfId="0"/>
    <xf numFmtId="0" fontId="5" fillId="3" borderId="1" applyAlignment="1" pivotButton="0" quotePrefix="0" xfId="0">
      <alignment horizontal="right"/>
    </xf>
    <xf numFmtId="0" fontId="2" fillId="0" borderId="1" pivotButton="0" quotePrefix="0" xfId="0"/>
    <xf numFmtId="164" fontId="5" fillId="3" borderId="1" applyAlignment="1" pivotButton="0" quotePrefix="0" xfId="0">
      <alignment horizontal="right"/>
    </xf>
    <xf numFmtId="4" fontId="5" fillId="3" borderId="1" applyAlignment="1" pivotButton="0" quotePrefix="0" xfId="0">
      <alignment horizontal="right"/>
    </xf>
    <xf numFmtId="1" fontId="5" fillId="3" borderId="1" applyAlignment="1" pivotButton="0" quotePrefix="0" xfId="0">
      <alignment horizontal="right"/>
    </xf>
    <xf numFmtId="10" fontId="5" fillId="3" borderId="1" applyAlignment="1" pivotButton="0" quotePrefix="0" xfId="0">
      <alignment horizontal="right"/>
    </xf>
    <xf numFmtId="2" fontId="5" fillId="3" borderId="1" applyAlignment="1" pivotButton="0" quotePrefix="0" xfId="0">
      <alignment horizontal="right"/>
    </xf>
    <xf numFmtId="0" fontId="6" fillId="0" borderId="1" pivotButton="0" quotePrefix="0" xfId="0"/>
    <xf numFmtId="0" fontId="6" fillId="4" borderId="1" applyAlignment="1" pivotButton="0" quotePrefix="0" xfId="0">
      <alignment horizontal="right"/>
    </xf>
    <xf numFmtId="164" fontId="6" fillId="4" borderId="1" applyAlignment="1" pivotButton="0" quotePrefix="0" xfId="0">
      <alignment horizontal="right"/>
    </xf>
    <xf numFmtId="10" fontId="6" fillId="4" borderId="1" applyAlignment="1" pivotButton="0" quotePrefix="0" xfId="0">
      <alignment horizontal="right"/>
    </xf>
    <xf numFmtId="165" fontId="6" fillId="4" borderId="1" applyAlignment="1" pivotButton="0" quotePrefix="0" xfId="0">
      <alignment horizontal="right"/>
    </xf>
    <xf numFmtId="4" fontId="6" fillId="4" borderId="1" applyAlignment="1" pivotButton="0" quotePrefix="0" xfId="0">
      <alignment horizontal="right"/>
    </xf>
    <xf numFmtId="2" fontId="6" fillId="4" borderId="1" applyAlignment="1" pivotButton="0" quotePrefix="0" xfId="0">
      <alignment horizontal="right"/>
    </xf>
    <xf numFmtId="166" fontId="6" fillId="4" borderId="1" applyAlignment="1" pivotButton="0" quotePrefix="0" xfId="0">
      <alignment horizontal="right"/>
    </xf>
    <xf numFmtId="167" fontId="6" fillId="4" borderId="1" applyAlignment="1" pivotButton="0" quotePrefix="0" xfId="0">
      <alignment horizontal="right"/>
    </xf>
    <xf numFmtId="0" fontId="7" fillId="0" borderId="0" pivotButton="0" quotePrefix="0" xfId="0"/>
    <xf numFmtId="0" fontId="3" fillId="2" borderId="0" applyAlignment="1" pivotButton="0" quotePrefix="0" xfId="0">
      <alignment horizontal="center"/>
    </xf>
    <xf numFmtId="9" fontId="5" fillId="3" borderId="1" pivotButton="0" quotePrefix="0" xfId="0"/>
    <xf numFmtId="164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168" fontId="0" fillId="0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20" customWidth="1" min="2" max="2"/>
    <col width="70" customWidth="1" min="3" max="3"/>
    <col width="3" customWidth="1" min="4" max="4"/>
  </cols>
  <sheetData>
    <row r="1" ht="30" customHeight="1">
      <c r="A1" s="1" t="inlineStr">
        <is>
          <t>FXCM Simulation Calculator</t>
        </is>
      </c>
    </row>
    <row r="2">
      <c r="A2" s="2" t="inlineStr">
        <is>
          <t>Blue cells are inputs - change them and every green result recalculates.</t>
        </is>
      </c>
    </row>
    <row r="4" ht="20" customHeight="1">
      <c r="A4" s="3" t="inlineStr">
        <is>
          <t>1 · INPUTS</t>
        </is>
      </c>
    </row>
    <row r="5">
      <c r="A5" s="4" t="inlineStr">
        <is>
          <t>Product</t>
        </is>
      </c>
      <c r="B5" s="5" t="inlineStr">
        <is>
          <t>XAU/USD</t>
        </is>
      </c>
      <c r="C5" s="6" t="inlineStr">
        <is>
          <t>Any product, for your reference</t>
        </is>
      </c>
    </row>
    <row r="6">
      <c r="A6" s="4" t="inlineStr">
        <is>
          <t>Order side</t>
        </is>
      </c>
      <c r="B6" s="5" t="inlineStr">
        <is>
          <t>Buy</t>
        </is>
      </c>
      <c r="C6" s="6" t="inlineStr">
        <is>
          <t>Buy profits when price goes up, Sell when it goes down</t>
        </is>
      </c>
    </row>
    <row r="7">
      <c r="A7" s="4" t="inlineStr">
        <is>
          <t>Simulation direction</t>
        </is>
      </c>
      <c r="B7" s="5" t="inlineStr">
        <is>
          <t>Up</t>
        </is>
      </c>
      <c r="C7" s="6" t="inlineStr">
        <is>
          <t>Up = price hikes, Down = price drops (the Up / Down buttons)</t>
        </is>
      </c>
    </row>
    <row r="8">
      <c r="A8" s="4" t="inlineStr">
        <is>
          <t>Start price</t>
        </is>
      </c>
      <c r="B8" s="7" t="n">
        <v>4520</v>
      </c>
      <c r="C8" s="6" t="inlineStr">
        <is>
          <t>Price the order is opened at (admin 'Start price')</t>
        </is>
      </c>
    </row>
    <row r="9">
      <c r="A9" s="4" t="inlineStr">
        <is>
          <t>Amount to invest (margin budget)</t>
        </is>
      </c>
      <c r="B9" s="8" t="n">
        <v>1000</v>
      </c>
      <c r="C9" s="6" t="inlineStr">
        <is>
          <t>A number: how much money you put into the order</t>
        </is>
      </c>
    </row>
    <row r="10">
      <c r="A10" s="4" t="inlineStr">
        <is>
          <t>Hike value</t>
        </is>
      </c>
      <c r="B10" s="7" t="n">
        <v>15</v>
      </c>
      <c r="C10" s="6" t="inlineStr">
        <is>
          <t>15 = +15 % when Hike type is Percent, or +15 in currency when it is Currency</t>
        </is>
      </c>
    </row>
    <row r="11">
      <c r="A11" s="4" t="inlineStr">
        <is>
          <t>Multiplier (leverage)</t>
        </is>
      </c>
      <c r="B11" s="9" t="n">
        <v>100</v>
      </c>
      <c r="C11" s="6" t="inlineStr">
        <is>
          <t>Order ticket 'Multiplier' (100 = 1:100)</t>
        </is>
      </c>
    </row>
    <row r="12">
      <c r="A12" s="4" t="inlineStr">
        <is>
          <t>Units per lot</t>
        </is>
      </c>
      <c r="B12" s="9" t="n">
        <v>100</v>
      </c>
      <c r="C12" s="6" t="inlineStr">
        <is>
          <t>Platform rule: 1 lot = 100 units</t>
        </is>
      </c>
    </row>
    <row r="13">
      <c r="A13" s="4" t="inlineStr">
        <is>
          <t>Handling fee rate</t>
        </is>
      </c>
      <c r="B13" s="10" t="n">
        <v>0.001</v>
      </c>
      <c r="C13" s="6" t="inlineStr">
        <is>
          <t>Platform rule: 0.1% of margin</t>
        </is>
      </c>
    </row>
    <row r="14">
      <c r="A14" s="4" t="inlineStr">
        <is>
          <t>Max lots per order</t>
        </is>
      </c>
      <c r="B14" s="9" t="n">
        <v>100</v>
      </c>
      <c r="C14" s="6" t="inlineStr">
        <is>
          <t>Platform limit</t>
        </is>
      </c>
    </row>
    <row r="15">
      <c r="A15" s="4" t="inlineStr">
        <is>
          <t>Min lot step</t>
        </is>
      </c>
      <c r="B15" s="11" t="n">
        <v>0.01</v>
      </c>
      <c r="C15" s="6" t="inlineStr">
        <is>
          <t>Platform minimum / step</t>
        </is>
      </c>
    </row>
    <row r="16">
      <c r="A16" s="4" t="inlineStr">
        <is>
          <t>Hike type</t>
        </is>
      </c>
      <c r="B16" s="5" t="inlineStr">
        <is>
          <t>Percent</t>
        </is>
      </c>
      <c r="C16" s="6" t="inlineStr">
        <is>
          <t>Percent = % of the start price, Currency = a fixed amount added to / taken off the price</t>
        </is>
      </c>
    </row>
    <row r="17" ht="20" customHeight="1">
      <c r="A17" s="3" t="inlineStr">
        <is>
          <t>2 · WHAT TO TYPE INTO THE ADMIN SIMULATION</t>
        </is>
      </c>
    </row>
    <row r="18">
      <c r="A18" s="12" t="inlineStr">
        <is>
          <t>Direction button</t>
        </is>
      </c>
      <c r="B18" s="13">
        <f>IF(B7="Up","↑ Up","↓ Down")</f>
        <v/>
      </c>
      <c r="C18" s="6" t="inlineStr">
        <is>
          <t>Press this on the product's simulation controls</t>
        </is>
      </c>
    </row>
    <row r="19">
      <c r="A19" s="12" t="inlineStr">
        <is>
          <t>Start price field</t>
        </is>
      </c>
      <c r="B19" s="14">
        <f>B8</f>
        <v/>
      </c>
      <c r="C19" s="6" t="inlineStr">
        <is>
          <t>Start price (optional) box</t>
        </is>
      </c>
    </row>
    <row r="20">
      <c r="A20" s="12" t="inlineStr">
        <is>
          <t>Hike as percent</t>
        </is>
      </c>
      <c r="B20" s="15">
        <f>IF(B16="Percent",B10/100,B10/B8)</f>
        <v/>
      </c>
      <c r="C20" s="6" t="inlineStr">
        <is>
          <t>Target price box, unit  %  (move away from the start price)</t>
        </is>
      </c>
    </row>
    <row r="21">
      <c r="A21" s="12" t="inlineStr">
        <is>
          <t>Target as price</t>
        </is>
      </c>
      <c r="B21" s="14">
        <f>B8*(1+IF(B7="Up",1,-1)*B20)</f>
        <v/>
      </c>
      <c r="C21" s="6" t="inlineStr">
        <is>
          <t>…or unit  $  and type this price</t>
        </is>
      </c>
    </row>
    <row r="22">
      <c r="A22" s="12" t="inlineStr">
        <is>
          <t>Hike as currency amount</t>
        </is>
      </c>
      <c r="B22" s="16">
        <f>ABS(B21-B8)</f>
        <v/>
      </c>
      <c r="C22" s="6" t="inlineStr">
        <is>
          <t>Type this as the move when the unit is $</t>
        </is>
      </c>
    </row>
    <row r="24" ht="20" customHeight="1">
      <c r="A24" s="3" t="inlineStr">
        <is>
          <t>3 · HOW MANY LOTS TO BUY FOR YOUR AMOUNT</t>
        </is>
      </c>
    </row>
    <row r="25">
      <c r="A25" s="12" t="inlineStr">
        <is>
          <t>Margin per 1 lot</t>
        </is>
      </c>
      <c r="B25" s="17">
        <f>B12*B8/B11</f>
        <v/>
      </c>
      <c r="C25" s="6" t="inlineStr">
        <is>
          <t>units × price ÷ multiplier</t>
        </is>
      </c>
    </row>
    <row r="26">
      <c r="A26" s="12" t="inlineStr">
        <is>
          <t>Cost per 1 lot incl. fee</t>
        </is>
      </c>
      <c r="B26" s="17">
        <f>B25*(1+B13)</f>
        <v/>
      </c>
      <c r="C26" s="6" t="inlineStr">
        <is>
          <t>margin + handling fee</t>
        </is>
      </c>
    </row>
    <row r="27">
      <c r="A27" s="12" t="inlineStr">
        <is>
          <t>LOTS TO PURCHASE</t>
        </is>
      </c>
      <c r="B27" s="18">
        <f>MIN(B14,ROUNDDOWN(B9/B26/B15,0)*B15)</f>
        <v/>
      </c>
      <c r="C27" s="6" t="inlineStr">
        <is>
          <t>Largest lot size your amount covers (rounded down to the lot step)</t>
        </is>
      </c>
    </row>
    <row r="28">
      <c r="A28" s="12" t="inlineStr">
        <is>
          <t>Margin held</t>
        </is>
      </c>
      <c r="B28" s="17">
        <f>B27*B25</f>
        <v/>
      </c>
      <c r="C28" s="6" t="inlineStr"/>
    </row>
    <row r="29">
      <c r="A29" s="12" t="inlineStr">
        <is>
          <t>Handling fee</t>
        </is>
      </c>
      <c r="B29" s="17">
        <f>B28*B13</f>
        <v/>
      </c>
      <c r="C29" s="6" t="inlineStr"/>
    </row>
    <row r="30">
      <c r="A30" s="12" t="inlineStr">
        <is>
          <t>Total cash needed</t>
        </is>
      </c>
      <c r="B30" s="17">
        <f>B28+B29</f>
        <v/>
      </c>
      <c r="C30" s="6" t="inlineStr">
        <is>
          <t>must be ≤ your balance</t>
        </is>
      </c>
    </row>
    <row r="31">
      <c r="A31" s="12" t="inlineStr">
        <is>
          <t>Left over from your amount</t>
        </is>
      </c>
      <c r="B31" s="17">
        <f>B9-B30</f>
        <v/>
      </c>
      <c r="C31" s="6" t="inlineStr"/>
    </row>
    <row r="33" ht="20" customHeight="1">
      <c r="A33" s="3" t="inlineStr">
        <is>
          <t>4 · RESULT WHEN THE TARGET IS REACHED</t>
        </is>
      </c>
    </row>
    <row r="34">
      <c r="A34" s="12" t="inlineStr">
        <is>
          <t>Profit / loss (currency)</t>
        </is>
      </c>
      <c r="B34" s="19">
        <f>IF(B6="Buy",1,-1)*(B21-B8)*B27*B12</f>
        <v/>
      </c>
      <c r="C34" s="6" t="inlineStr">
        <is>
          <t>(target − start) × lots × units, sign by order side</t>
        </is>
      </c>
    </row>
    <row r="35">
      <c r="A35" s="12" t="inlineStr">
        <is>
          <t>Return on margin (%)</t>
        </is>
      </c>
      <c r="B35" s="20">
        <f>IF(B28=0,0,B34/B28)</f>
        <v/>
      </c>
      <c r="C35" s="6" t="inlineStr">
        <is>
          <t>profit ÷ margin held - what the account really earns</t>
        </is>
      </c>
    </row>
    <row r="36">
      <c r="A36" s="12" t="inlineStr">
        <is>
          <t>Return on amount invested (%)</t>
        </is>
      </c>
      <c r="B36" s="20">
        <f>IF(B9=0,0,B34/B9)</f>
        <v/>
      </c>
      <c r="C36" s="6" t="inlineStr">
        <is>
          <t>profit ÷ your amount, after fees: see next row</t>
        </is>
      </c>
    </row>
    <row r="37">
      <c r="A37" s="12" t="inlineStr">
        <is>
          <t>Profit after fee (currency)</t>
        </is>
      </c>
      <c r="B37" s="19">
        <f>B34-B29</f>
        <v/>
      </c>
      <c r="C37" s="6" t="inlineStr"/>
    </row>
    <row r="38">
      <c r="A38" s="12" t="inlineStr">
        <is>
          <t>Profit after fee (% of amount)</t>
        </is>
      </c>
      <c r="B38" s="20">
        <f>IF(B9=0,0,B37/B9)</f>
        <v/>
      </c>
      <c r="C38" s="6" t="inlineStr"/>
    </row>
    <row r="39">
      <c r="A39" s="12" t="inlineStr">
        <is>
          <t>Balance after closing</t>
        </is>
      </c>
      <c r="B39" s="17">
        <f>B9+B37</f>
        <v/>
      </c>
      <c r="C39" s="6" t="inlineStr">
        <is>
          <t>your amount + profit after fee</t>
        </is>
      </c>
    </row>
    <row r="40">
      <c r="A40" s="12" t="inlineStr">
        <is>
          <t>Move that wipes out the margin</t>
        </is>
      </c>
      <c r="B40" s="14">
        <f>IF(B27=0,0,B28/(B27*B12))</f>
        <v/>
      </c>
      <c r="C40" s="6" t="inlineStr">
        <is>
          <t>price move (currency) at which the margin is lost - the stop-out level is reached before this</t>
        </is>
      </c>
    </row>
    <row r="42" ht="20" customHeight="1">
      <c r="A42" s="3" t="inlineStr">
        <is>
          <t>5 · REVERSE: I WANT A PROFIT OF …</t>
        </is>
      </c>
    </row>
    <row r="43">
      <c r="A43" s="4" t="inlineStr">
        <is>
          <t>Profit wanted (currency)</t>
        </is>
      </c>
      <c r="B43" s="8" t="n">
        <v>150</v>
      </c>
      <c r="C43" s="6" t="inlineStr">
        <is>
          <t>Type the profit you want in currency</t>
        </is>
      </c>
    </row>
    <row r="44">
      <c r="A44" s="12" t="inlineStr">
        <is>
          <t>Lots needed</t>
        </is>
      </c>
      <c r="B44" s="18">
        <f>MIN(B14,ROUNDUP((B43+0)/(ABS(B21-B8)*B12)/B15,0)*B15)</f>
        <v/>
      </c>
      <c r="C44" s="6" t="inlineStr">
        <is>
          <t>profit ÷ (price move × units), rounded up to the lot step</t>
        </is>
      </c>
    </row>
    <row r="45">
      <c r="A45" s="12" t="inlineStr">
        <is>
          <t>Margin + fee needed</t>
        </is>
      </c>
      <c r="B45" s="17">
        <f>B44*B25*(1+B13)</f>
        <v/>
      </c>
      <c r="C45" s="6" t="inlineStr">
        <is>
          <t>cash you must have</t>
        </is>
      </c>
    </row>
    <row r="46">
      <c r="A46" s="12" t="inlineStr">
        <is>
          <t>Profit at those lots</t>
        </is>
      </c>
      <c r="B46" s="17">
        <f>B44*ABS(B21-B8)*B12</f>
        <v/>
      </c>
      <c r="C46" s="6" t="inlineStr"/>
    </row>
    <row r="47">
      <c r="A47" s="12" t="inlineStr">
        <is>
          <t>Price move needed for that profit at the lots in section 3</t>
        </is>
      </c>
      <c r="B47" s="14">
        <f>IF(B27=0,0,B43/(B27*B12))</f>
        <v/>
      </c>
      <c r="C47" s="6" t="inlineStr">
        <is>
          <t>if you keep your amount's lots, the price must move this much (currency)</t>
        </is>
      </c>
    </row>
    <row r="48">
      <c r="A48" s="12" t="inlineStr">
        <is>
          <t>…as a % of start price</t>
        </is>
      </c>
      <c r="B48" s="15">
        <f>IF(B8=0,0,B47/B8)</f>
        <v/>
      </c>
      <c r="C48" s="6" t="inlineStr">
        <is>
          <t>enter this % as the simulation target</t>
        </is>
      </c>
    </row>
  </sheetData>
  <mergeCells count="6">
    <mergeCell ref="A1:D1"/>
    <mergeCell ref="A17:D17"/>
    <mergeCell ref="A4:D4"/>
    <mergeCell ref="A24:D24"/>
    <mergeCell ref="A33:D33"/>
    <mergeCell ref="A42:D42"/>
  </mergeCells>
  <dataValidations count="3">
    <dataValidation sqref="B6" showDropDown="0" showInputMessage="0" showErrorMessage="0" allowBlank="0" type="list">
      <formula1>"Buy,Sell"</formula1>
    </dataValidation>
    <dataValidation sqref="B7" showDropDown="0" showInputMessage="0" showErrorMessage="0" allowBlank="0" type="list">
      <formula1>"Up,Down"</formula1>
    </dataValidation>
    <dataValidation sqref="B16" showDropDown="0" showInputMessage="0" showErrorMessage="0" allowBlank="0" type="list">
      <formula1>"Percent,Currency"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16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21" t="inlineStr">
        <is>
          <t>Profit at different % moves (uses the lots from the Calculator sheet)</t>
        </is>
      </c>
    </row>
    <row r="3">
      <c r="A3" s="22" t="inlineStr">
        <is>
          <t>Move %</t>
        </is>
      </c>
      <c r="B3" s="22" t="inlineStr">
        <is>
          <t>Target price</t>
        </is>
      </c>
      <c r="C3" s="22" t="inlineStr">
        <is>
          <t>Price change</t>
        </is>
      </c>
      <c r="D3" s="22" t="inlineStr">
        <is>
          <t>Profit (currency)</t>
        </is>
      </c>
      <c r="E3" s="22" t="inlineStr">
        <is>
          <t>Profit after fee</t>
        </is>
      </c>
      <c r="F3" s="22" t="inlineStr">
        <is>
          <t>Return on margin</t>
        </is>
      </c>
      <c r="G3" s="22" t="inlineStr">
        <is>
          <t>Return on amount</t>
        </is>
      </c>
    </row>
    <row r="4">
      <c r="A4" s="23" t="n">
        <v>0.01</v>
      </c>
      <c r="B4" s="24">
        <f>Calculator!$B$8*(1+IF(Calculator!$B$7="Up",1,-1)*A4)</f>
        <v/>
      </c>
      <c r="C4" s="25">
        <f>B4-Calculator!$B$8</f>
        <v/>
      </c>
      <c r="D4" s="26">
        <f>IF(Calculator!$B$6="Buy",1,-1)*C4*Calculator!$B$27*Calculator!$B$12</f>
        <v/>
      </c>
      <c r="E4" s="26">
        <f>D4-Calculator!$B$29</f>
        <v/>
      </c>
      <c r="F4" s="27">
        <f>IF(Calculator!$B$28=0,0,D4/Calculator!$B$28)</f>
        <v/>
      </c>
      <c r="G4" s="27">
        <f>IF(Calculator!$B$9=0,0,E4/Calculator!$B$9)</f>
        <v/>
      </c>
    </row>
    <row r="5">
      <c r="A5" s="23" t="n">
        <v>0.02</v>
      </c>
      <c r="B5" s="24">
        <f>Calculator!$B$8*(1+IF(Calculator!$B$7="Up",1,-1)*A5)</f>
        <v/>
      </c>
      <c r="C5" s="25">
        <f>B5-Calculator!$B$8</f>
        <v/>
      </c>
      <c r="D5" s="26">
        <f>IF(Calculator!$B$6="Buy",1,-1)*C5*Calculator!$B$27*Calculator!$B$12</f>
        <v/>
      </c>
      <c r="E5" s="26">
        <f>D5-Calculator!$B$29</f>
        <v/>
      </c>
      <c r="F5" s="27">
        <f>IF(Calculator!$B$28=0,0,D5/Calculator!$B$28)</f>
        <v/>
      </c>
      <c r="G5" s="27">
        <f>IF(Calculator!$B$9=0,0,E5/Calculator!$B$9)</f>
        <v/>
      </c>
    </row>
    <row r="6">
      <c r="A6" s="23" t="n">
        <v>0.05</v>
      </c>
      <c r="B6" s="24">
        <f>Calculator!$B$8*(1+IF(Calculator!$B$7="Up",1,-1)*A6)</f>
        <v/>
      </c>
      <c r="C6" s="25">
        <f>B6-Calculator!$B$8</f>
        <v/>
      </c>
      <c r="D6" s="26">
        <f>IF(Calculator!$B$6="Buy",1,-1)*C6*Calculator!$B$27*Calculator!$B$12</f>
        <v/>
      </c>
      <c r="E6" s="26">
        <f>D6-Calculator!$B$29</f>
        <v/>
      </c>
      <c r="F6" s="27">
        <f>IF(Calculator!$B$28=0,0,D6/Calculator!$B$28)</f>
        <v/>
      </c>
      <c r="G6" s="27">
        <f>IF(Calculator!$B$9=0,0,E6/Calculator!$B$9)</f>
        <v/>
      </c>
    </row>
    <row r="7">
      <c r="A7" s="23" t="n">
        <v>0.1</v>
      </c>
      <c r="B7" s="24">
        <f>Calculator!$B$8*(1+IF(Calculator!$B$7="Up",1,-1)*A7)</f>
        <v/>
      </c>
      <c r="C7" s="25">
        <f>B7-Calculator!$B$8</f>
        <v/>
      </c>
      <c r="D7" s="26">
        <f>IF(Calculator!$B$6="Buy",1,-1)*C7*Calculator!$B$27*Calculator!$B$12</f>
        <v/>
      </c>
      <c r="E7" s="26">
        <f>D7-Calculator!$B$29</f>
        <v/>
      </c>
      <c r="F7" s="27">
        <f>IF(Calculator!$B$28=0,0,D7/Calculator!$B$28)</f>
        <v/>
      </c>
      <c r="G7" s="27">
        <f>IF(Calculator!$B$9=0,0,E7/Calculator!$B$9)</f>
        <v/>
      </c>
    </row>
    <row r="8">
      <c r="A8" s="23" t="n">
        <v>0.15</v>
      </c>
      <c r="B8" s="24">
        <f>Calculator!$B$8*(1+IF(Calculator!$B$7="Up",1,-1)*A8)</f>
        <v/>
      </c>
      <c r="C8" s="25">
        <f>B8-Calculator!$B$8</f>
        <v/>
      </c>
      <c r="D8" s="26">
        <f>IF(Calculator!$B$6="Buy",1,-1)*C8*Calculator!$B$27*Calculator!$B$12</f>
        <v/>
      </c>
      <c r="E8" s="26">
        <f>D8-Calculator!$B$29</f>
        <v/>
      </c>
      <c r="F8" s="27">
        <f>IF(Calculator!$B$28=0,0,D8/Calculator!$B$28)</f>
        <v/>
      </c>
      <c r="G8" s="27">
        <f>IF(Calculator!$B$9=0,0,E8/Calculator!$B$9)</f>
        <v/>
      </c>
    </row>
    <row r="9">
      <c r="A9" s="23" t="n">
        <v>0.2</v>
      </c>
      <c r="B9" s="24">
        <f>Calculator!$B$8*(1+IF(Calculator!$B$7="Up",1,-1)*A9)</f>
        <v/>
      </c>
      <c r="C9" s="25">
        <f>B9-Calculator!$B$8</f>
        <v/>
      </c>
      <c r="D9" s="26">
        <f>IF(Calculator!$B$6="Buy",1,-1)*C9*Calculator!$B$27*Calculator!$B$12</f>
        <v/>
      </c>
      <c r="E9" s="26">
        <f>D9-Calculator!$B$29</f>
        <v/>
      </c>
      <c r="F9" s="27">
        <f>IF(Calculator!$B$28=0,0,D9/Calculator!$B$28)</f>
        <v/>
      </c>
      <c r="G9" s="27">
        <f>IF(Calculator!$B$9=0,0,E9/Calculator!$B$9)</f>
        <v/>
      </c>
    </row>
    <row r="10">
      <c r="A10" s="23" t="n">
        <v>0.25</v>
      </c>
      <c r="B10" s="24">
        <f>Calculator!$B$8*(1+IF(Calculator!$B$7="Up",1,-1)*A10)</f>
        <v/>
      </c>
      <c r="C10" s="25">
        <f>B10-Calculator!$B$8</f>
        <v/>
      </c>
      <c r="D10" s="26">
        <f>IF(Calculator!$B$6="Buy",1,-1)*C10*Calculator!$B$27*Calculator!$B$12</f>
        <v/>
      </c>
      <c r="E10" s="26">
        <f>D10-Calculator!$B$29</f>
        <v/>
      </c>
      <c r="F10" s="27">
        <f>IF(Calculator!$B$28=0,0,D10/Calculator!$B$28)</f>
        <v/>
      </c>
      <c r="G10" s="27">
        <f>IF(Calculator!$B$9=0,0,E10/Calculator!$B$9)</f>
        <v/>
      </c>
    </row>
    <row r="11">
      <c r="A11" s="23" t="n">
        <v>0.3</v>
      </c>
      <c r="B11" s="24">
        <f>Calculator!$B$8*(1+IF(Calculator!$B$7="Up",1,-1)*A11)</f>
        <v/>
      </c>
      <c r="C11" s="25">
        <f>B11-Calculator!$B$8</f>
        <v/>
      </c>
      <c r="D11" s="26">
        <f>IF(Calculator!$B$6="Buy",1,-1)*C11*Calculator!$B$27*Calculator!$B$12</f>
        <v/>
      </c>
      <c r="E11" s="26">
        <f>D11-Calculator!$B$29</f>
        <v/>
      </c>
      <c r="F11" s="27">
        <f>IF(Calculator!$B$28=0,0,D11/Calculator!$B$28)</f>
        <v/>
      </c>
      <c r="G11" s="27">
        <f>IF(Calculator!$B$9=0,0,E11/Calculator!$B$9)</f>
        <v/>
      </c>
    </row>
    <row r="12">
      <c r="A12" s="23" t="n">
        <v>0.5</v>
      </c>
      <c r="B12" s="24">
        <f>Calculator!$B$8*(1+IF(Calculator!$B$7="Up",1,-1)*A12)</f>
        <v/>
      </c>
      <c r="C12" s="25">
        <f>B12-Calculator!$B$8</f>
        <v/>
      </c>
      <c r="D12" s="26">
        <f>IF(Calculator!$B$6="Buy",1,-1)*C12*Calculator!$B$27*Calculator!$B$12</f>
        <v/>
      </c>
      <c r="E12" s="26">
        <f>D12-Calculator!$B$29</f>
        <v/>
      </c>
      <c r="F12" s="27">
        <f>IF(Calculator!$B$28=0,0,D12/Calculator!$B$28)</f>
        <v/>
      </c>
      <c r="G12" s="27">
        <f>IF(Calculator!$B$9=0,0,E12/Calculator!$B$9)</f>
        <v/>
      </c>
    </row>
    <row r="13">
      <c r="A13" s="23" t="n">
        <v>1</v>
      </c>
      <c r="B13" s="24">
        <f>Calculator!$B$8*(1+IF(Calculator!$B$7="Up",1,-1)*A13)</f>
        <v/>
      </c>
      <c r="C13" s="25">
        <f>B13-Calculator!$B$8</f>
        <v/>
      </c>
      <c r="D13" s="26">
        <f>IF(Calculator!$B$6="Buy",1,-1)*C13*Calculator!$B$27*Calculator!$B$12</f>
        <v/>
      </c>
      <c r="E13" s="26">
        <f>D13-Calculator!$B$29</f>
        <v/>
      </c>
      <c r="F13" s="27">
        <f>IF(Calculator!$B$28=0,0,D13/Calculator!$B$28)</f>
        <v/>
      </c>
      <c r="G13" s="27">
        <f>IF(Calculator!$B$9=0,0,E13/Calculator!$B$9)</f>
        <v/>
      </c>
    </row>
    <row r="15">
      <c r="A15" s="2" t="inlineStr">
        <is>
          <t>Change the blue % values to test any move you like.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8" customWidth="1" min="1" max="1"/>
    <col width="100" customWidth="1" min="2" max="2"/>
  </cols>
  <sheetData>
    <row r="1">
      <c r="A1" s="21" t="inlineStr">
        <is>
          <t>Formulas (same as the trading platform)</t>
        </is>
      </c>
      <c r="B1" t="inlineStr"/>
    </row>
    <row r="2">
      <c r="A2" s="28" t="inlineStr">
        <is>
          <t>Margin held</t>
        </is>
      </c>
      <c r="B2" t="inlineStr">
        <is>
          <t>lots × units per lot × price ÷ multiplier</t>
        </is>
      </c>
    </row>
    <row r="3">
      <c r="A3" s="28" t="inlineStr">
        <is>
          <t>Handling fee</t>
        </is>
      </c>
      <c r="B3" t="inlineStr">
        <is>
          <t>margin × 0.1%</t>
        </is>
      </c>
    </row>
    <row r="4">
      <c r="A4" s="28" t="inlineStr">
        <is>
          <t>Profit / loss</t>
        </is>
      </c>
      <c r="B4" t="inlineStr">
        <is>
          <t>(exit price − entry price) × lots × units per lot   (negative for a Sell if price rises)</t>
        </is>
      </c>
    </row>
    <row r="5">
      <c r="A5" s="28" t="inlineStr">
        <is>
          <t>Lots for an amount</t>
        </is>
      </c>
      <c r="B5" t="inlineStr">
        <is>
          <t>amount ÷ (margin per lot × (1 + fee rate)), rounded DOWN to 0.01, max 100</t>
        </is>
      </c>
    </row>
    <row r="6">
      <c r="A6" s="28" t="inlineStr">
        <is>
          <t>Lots for a profit</t>
        </is>
      </c>
      <c r="B6" t="inlineStr">
        <is>
          <t>profit ÷ (price move × units per lot), rounded UP to 0.01, max 100</t>
        </is>
      </c>
    </row>
    <row r="7">
      <c r="A7" s="28" t="inlineStr">
        <is>
          <t>Target price</t>
        </is>
      </c>
      <c r="B7" t="inlineStr">
        <is>
          <t>start price × (1 ± move %)   (+ for Up, − for Down)</t>
        </is>
      </c>
    </row>
    <row r="8">
      <c r="A8" s="28" t="inlineStr"/>
      <c r="B8" t="inlineStr"/>
    </row>
    <row r="9">
      <c r="A9" s="28" t="inlineStr">
        <is>
          <t>Using it with the admin simulation</t>
        </is>
      </c>
      <c r="B9" t="inlineStr"/>
    </row>
    <row r="10">
      <c r="A10" s="28" t="inlineStr">
        <is>
          <t>1</t>
        </is>
      </c>
      <c r="B10" t="inlineStr">
        <is>
          <t>Type your amount, start price, hike type (Percent or Currency) and hike value in the blue cells of the Calculator sheet.</t>
        </is>
      </c>
    </row>
    <row r="11">
      <c r="A11" s="28" t="inlineStr">
        <is>
          <t>2</t>
        </is>
      </c>
      <c r="B11" t="inlineStr">
        <is>
          <t>On Admin → Products open the product, put the Start price in, choose Up/Down as shown in section 2.</t>
        </is>
      </c>
    </row>
    <row r="12">
      <c r="A12" s="28" t="inlineStr">
        <is>
          <t>3</t>
        </is>
      </c>
      <c r="B12" t="inlineStr">
        <is>
          <t>Enter the Target as % (section 2) or as a price ($) and press Up/Down.</t>
        </is>
      </c>
    </row>
    <row r="13">
      <c r="A13" s="28" t="inlineStr">
        <is>
          <t>4</t>
        </is>
      </c>
      <c r="B13" t="inlineStr">
        <is>
          <t>Place the order with the LOTS TO PURCHASE shown in section 3.</t>
        </is>
      </c>
    </row>
    <row r="14">
      <c r="A14" s="28" t="inlineStr"/>
      <c r="B14" t="inlineStr"/>
    </row>
    <row r="15">
      <c r="A15" s="28" t="inlineStr">
        <is>
          <t>Note</t>
        </is>
      </c>
      <c r="B15" t="inlineStr">
        <is>
          <t>The platform also applies a stop-out when margin level falls to 20%, so large leverage with a big adverse move can close the position before the margin is fully lost.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2026-10-16T08:17:09Z</dcterms:created>
  <dcterms:modified xsi:type="dcterms:W3CDTF">2026-10-16T08:17:09Z</dcterms:modified>
</cp:coreProperties>
</file>