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0"/>
    <numFmt numFmtId="165" formatCode="0.0%"/>
    <numFmt numFmtId="166" formatCode="0.00&quot;%&quot;"/>
    <numFmt numFmtId="167" formatCode="#,##0.00####"/>
    <numFmt numFmtId="168" formatCode="#,##0.00####;-#,##0.00####"/>
    <numFmt numFmtId="169" formatCode="#,##0.00;[Red]-#,##0.00"/>
    <numFmt numFmtId="170" formatCode="0.0%;[Red]-0.0%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555555"/>
    </font>
    <font>
      <b val="1"/>
      <color rgb="00FFFFFF"/>
    </font>
    <font>
      <color rgb="00777777"/>
    </font>
    <font>
      <b val="1"/>
    </font>
  </fonts>
  <fills count="5">
    <fill>
      <patternFill/>
    </fill>
    <fill>
      <patternFill patternType="gray125"/>
    </fill>
    <fill>
      <patternFill patternType="solid">
        <fgColor rgb="001F4E9E"/>
      </patternFill>
    </fill>
    <fill>
      <patternFill patternType="solid">
        <fgColor rgb="00FFF4CC"/>
      </patternFill>
    </fill>
    <fill>
      <patternFill patternType="solid">
        <fgColor rgb="00E3F2E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164" fontId="0" fillId="3" borderId="1" pivotButton="0" quotePrefix="0" xfId="0"/>
    <xf numFmtId="0" fontId="4" fillId="0" borderId="1" pivotButton="0" quotePrefix="0" xfId="0"/>
    <xf numFmtId="0" fontId="0" fillId="3" borderId="1" pivotButton="0" quotePrefix="0" xfId="0"/>
    <xf numFmtId="2" fontId="0" fillId="3" borderId="1" pivotButton="0" quotePrefix="0" xfId="0"/>
    <xf numFmtId="1" fontId="0" fillId="3" borderId="1" pivotButton="0" quotePrefix="0" xfId="0"/>
    <xf numFmtId="165" fontId="0" fillId="0" borderId="1" pivotButton="0" quotePrefix="0" xfId="0"/>
    <xf numFmtId="166" fontId="5" fillId="4" borderId="1" pivotButton="0" quotePrefix="0" xfId="0"/>
    <xf numFmtId="167" fontId="5" fillId="4" borderId="1" pivotButton="0" quotePrefix="0" xfId="0"/>
    <xf numFmtId="168" fontId="5" fillId="4" borderId="1" pivotButton="0" quotePrefix="0" xfId="0"/>
    <xf numFmtId="4" fontId="5" fillId="4" borderId="1" pivotButton="0" quotePrefix="0" xfId="0"/>
    <xf numFmtId="169" fontId="5" fillId="4" borderId="1" pivotButton="0" quotePrefix="0" xfId="0"/>
    <xf numFmtId="170" fontId="5" fillId="4" borderId="1" pivotButton="0" quotePrefix="0" xfId="0"/>
    <xf numFmtId="9" fontId="0" fillId="3" borderId="1" pivotButton="0" quotePrefix="0" xfId="0"/>
    <xf numFmtId="167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58" customWidth="1" min="3" max="3"/>
    <col width="16" customWidth="1" min="4" max="4"/>
  </cols>
  <sheetData>
    <row r="1">
      <c r="A1" s="1" t="inlineStr">
        <is>
          <t>FXCM Simulation Calculator</t>
        </is>
      </c>
    </row>
    <row r="2">
      <c r="A2" s="2" t="inlineStr">
        <is>
          <t>Yellow cells are inputs. Green cells are formulas - copy them into the product's Simulation controls on the Products page.</t>
        </is>
      </c>
    </row>
    <row r="4">
      <c r="A4" s="3" t="inlineStr">
        <is>
          <t>INPUTS</t>
        </is>
      </c>
      <c r="B4" s="4" t="n"/>
      <c r="C4" s="3" t="inlineStr">
        <is>
          <t>Notes</t>
        </is>
      </c>
    </row>
    <row r="5">
      <c r="A5" s="5" t="inlineStr">
        <is>
          <t>Start price (entry price)</t>
        </is>
      </c>
      <c r="B5" s="6" t="n">
        <v>4521.75</v>
      </c>
      <c r="C5" s="7" t="inlineStr">
        <is>
          <t>Price the simulation opens at (the 'Start price' box)</t>
        </is>
      </c>
    </row>
    <row r="6">
      <c r="A6" s="5" t="inlineStr">
        <is>
          <t>Hike type</t>
        </is>
      </c>
      <c r="B6" s="8" t="inlineStr">
        <is>
          <t>Percent</t>
        </is>
      </c>
      <c r="C6" s="7" t="inlineStr">
        <is>
          <t>Percent = % of the start price, Currency = a fixed amount added</t>
        </is>
      </c>
    </row>
    <row r="7">
      <c r="A7" s="5" t="inlineStr">
        <is>
          <t>Hike value</t>
        </is>
      </c>
      <c r="B7" s="9" t="n">
        <v>15</v>
      </c>
      <c r="C7" s="7" t="inlineStr">
        <is>
          <t>15 means +15 % (or +15 in currency when Hike type is Currency)</t>
        </is>
      </c>
    </row>
    <row r="8">
      <c r="A8" s="5" t="inlineStr">
        <is>
          <t>Simulation direction</t>
        </is>
      </c>
      <c r="B8" s="8" t="inlineStr">
        <is>
          <t>Up</t>
        </is>
      </c>
      <c r="C8" s="7" t="inlineStr">
        <is>
          <t>Up adds the hike, Down subtracts it</t>
        </is>
      </c>
    </row>
    <row r="9">
      <c r="A9" s="5" t="inlineStr">
        <is>
          <t>Order side</t>
        </is>
      </c>
      <c r="B9" s="8" t="inlineStr">
        <is>
          <t>Buy</t>
        </is>
      </c>
      <c r="C9" s="7" t="inlineStr">
        <is>
          <t>The order placed on the product</t>
        </is>
      </c>
    </row>
    <row r="10">
      <c r="A10" s="5" t="inlineStr">
        <is>
          <t>Lots</t>
        </is>
      </c>
      <c r="B10" s="9" t="n">
        <v>1</v>
      </c>
      <c r="C10" s="7" t="inlineStr">
        <is>
          <t>Order size</t>
        </is>
      </c>
    </row>
    <row r="11">
      <c r="A11" s="5" t="inlineStr">
        <is>
          <t>Multiplier (leverage)</t>
        </is>
      </c>
      <c r="B11" s="10" t="n">
        <v>100</v>
      </c>
      <c r="C11" s="7" t="inlineStr">
        <is>
          <t>As chosen on the order ticket</t>
        </is>
      </c>
    </row>
    <row r="13">
      <c r="A13" s="3" t="inlineStr">
        <is>
          <t>CONSTANTS (same as the platform)</t>
        </is>
      </c>
      <c r="B13" s="4" t="n"/>
      <c r="C13" s="3" t="inlineStr">
        <is>
          <t>Notes</t>
        </is>
      </c>
    </row>
    <row r="14">
      <c r="A14" s="5" t="inlineStr">
        <is>
          <t>Units per lot</t>
        </is>
      </c>
      <c r="B14" s="5" t="n">
        <v>100</v>
      </c>
      <c r="C14" s="5" t="inlineStr">
        <is>
          <t>Platform contract size</t>
        </is>
      </c>
    </row>
    <row r="15">
      <c r="A15" s="5" t="inlineStr">
        <is>
          <t>Fee rate (on margin)</t>
        </is>
      </c>
      <c r="B15" s="11" t="n">
        <v>0.001</v>
      </c>
      <c r="C15" s="5" t="inlineStr">
        <is>
          <t>Platform fee</t>
        </is>
      </c>
    </row>
    <row r="17">
      <c r="A17" s="3" t="inlineStr">
        <is>
          <t>RESULTS</t>
        </is>
      </c>
      <c r="B17" s="4" t="n"/>
      <c r="C17" s="3" t="inlineStr">
        <is>
          <t>Notes</t>
        </is>
      </c>
    </row>
    <row r="18">
      <c r="A18" s="5" t="inlineStr">
        <is>
          <t>Hike as % of start price</t>
        </is>
      </c>
      <c r="B18" s="12">
        <f>IF(B6="Percent",B7,B7/B5*100)</f>
        <v/>
      </c>
      <c r="C18" s="7" t="inlineStr">
        <is>
          <t>Type this in Target price with unit %</t>
        </is>
      </c>
    </row>
    <row r="19">
      <c r="A19" s="5" t="inlineStr">
        <is>
          <t>Hike as currency amount</t>
        </is>
      </c>
      <c r="B19" s="13">
        <f>IF(B6="Percent",B5*B7/100,B7)</f>
        <v/>
      </c>
      <c r="C19" s="7" t="inlineStr">
        <is>
          <t>Type this in Target price with unit $ (as a move, not a price)</t>
        </is>
      </c>
    </row>
    <row r="20">
      <c r="A20" s="5" t="inlineStr">
        <is>
          <t>Target price</t>
        </is>
      </c>
      <c r="B20" s="13">
        <f>IF(B8="Up",B5+B19,B5-B19)</f>
        <v/>
      </c>
      <c r="C20" s="7" t="inlineStr">
        <is>
          <t>Price the simulation ends at</t>
        </is>
      </c>
    </row>
    <row r="21">
      <c r="A21" s="5" t="inlineStr">
        <is>
          <t>Price move</t>
        </is>
      </c>
      <c r="B21" s="14">
        <f>B20-B5</f>
        <v/>
      </c>
      <c r="C21" s="7" t="inlineStr"/>
    </row>
    <row r="22">
      <c r="A22" s="5" t="inlineStr">
        <is>
          <t>Margin used</t>
        </is>
      </c>
      <c r="B22" s="15">
        <f>ROUND(B10*B14*B5/B11,2)</f>
        <v/>
      </c>
      <c r="C22" s="7" t="inlineStr">
        <is>
          <t>Lots x units x start price / multiplier</t>
        </is>
      </c>
    </row>
    <row r="23">
      <c r="A23" s="5" t="inlineStr">
        <is>
          <t>Fee</t>
        </is>
      </c>
      <c r="B23" s="15">
        <f>ROUND(B22*B15,2)</f>
        <v/>
      </c>
      <c r="C23" s="7" t="inlineStr">
        <is>
          <t>Margin x fee rate</t>
        </is>
      </c>
    </row>
    <row r="24">
      <c r="A24" s="5" t="inlineStr">
        <is>
          <t>Order profit / loss at target</t>
        </is>
      </c>
      <c r="B24" s="16">
        <f>ROUND(IF(B9="Buy",1,-1)*(B20-B5)*B10*B14,2)</f>
        <v/>
      </c>
      <c r="C24" s="7" t="inlineStr">
        <is>
          <t>Same formula as the platform's floating P&amp;L</t>
        </is>
      </c>
    </row>
    <row r="25">
      <c r="A25" s="5" t="inlineStr">
        <is>
          <t>Profit / loss as % of margin</t>
        </is>
      </c>
      <c r="B25" s="17">
        <f>IF(B22=0,0,B24/B22)</f>
        <v/>
      </c>
      <c r="C25" s="7" t="inlineStr">
        <is>
          <t>Return on the margin you put up</t>
        </is>
      </c>
    </row>
    <row r="26">
      <c r="A26" s="5" t="inlineStr">
        <is>
          <t>Net after fee</t>
        </is>
      </c>
      <c r="B26" s="16">
        <f>B24-B23</f>
        <v/>
      </c>
      <c r="C26" s="7" t="inlineStr"/>
    </row>
    <row r="28">
      <c r="A28" s="3" t="inlineStr">
        <is>
          <t>WHAT-IF TABLE (hike as % of start price)</t>
        </is>
      </c>
      <c r="B28" s="4" t="n"/>
      <c r="C28" s="4" t="n"/>
    </row>
    <row r="29">
      <c r="A29" s="3" t="inlineStr">
        <is>
          <t>Hike %</t>
        </is>
      </c>
      <c r="B29" s="3" t="inlineStr">
        <is>
          <t>Target price</t>
        </is>
      </c>
      <c r="C29" s="3" t="inlineStr">
        <is>
          <t>Move</t>
        </is>
      </c>
      <c r="D29" s="3" t="inlineStr">
        <is>
          <t>Order P&amp;L</t>
        </is>
      </c>
    </row>
    <row r="30">
      <c r="A30" s="18" t="n">
        <v>0.01</v>
      </c>
      <c r="B30" s="19">
        <f>IF($B$8="Up",$B$5*(1+A30),$B$5*(1-A30))</f>
        <v/>
      </c>
      <c r="C30" s="20">
        <f>B30-$B$5</f>
        <v/>
      </c>
      <c r="D30" s="21">
        <f>ROUND(IF($B$9="Buy",1,-1)*C30*$B$10*$B$14,2)</f>
        <v/>
      </c>
    </row>
    <row r="31">
      <c r="A31" s="18" t="n">
        <v>0.02</v>
      </c>
      <c r="B31" s="19">
        <f>IF($B$8="Up",$B$5*(1+A31),$B$5*(1-A31))</f>
        <v/>
      </c>
      <c r="C31" s="20">
        <f>B31-$B$5</f>
        <v/>
      </c>
      <c r="D31" s="21">
        <f>ROUND(IF($B$9="Buy",1,-1)*C31*$B$10*$B$14,2)</f>
        <v/>
      </c>
    </row>
    <row r="32">
      <c r="A32" s="18" t="n">
        <v>0.05</v>
      </c>
      <c r="B32" s="19">
        <f>IF($B$8="Up",$B$5*(1+A32),$B$5*(1-A32))</f>
        <v/>
      </c>
      <c r="C32" s="20">
        <f>B32-$B$5</f>
        <v/>
      </c>
      <c r="D32" s="21">
        <f>ROUND(IF($B$9="Buy",1,-1)*C32*$B$10*$B$14,2)</f>
        <v/>
      </c>
    </row>
    <row r="33">
      <c r="A33" s="18" t="n">
        <v>0.1</v>
      </c>
      <c r="B33" s="19">
        <f>IF($B$8="Up",$B$5*(1+A33),$B$5*(1-A33))</f>
        <v/>
      </c>
      <c r="C33" s="20">
        <f>B33-$B$5</f>
        <v/>
      </c>
      <c r="D33" s="21">
        <f>ROUND(IF($B$9="Buy",1,-1)*C33*$B$10*$B$14,2)</f>
        <v/>
      </c>
    </row>
    <row r="34">
      <c r="A34" s="18" t="n">
        <v>0.15</v>
      </c>
      <c r="B34" s="19">
        <f>IF($B$8="Up",$B$5*(1+A34),$B$5*(1-A34))</f>
        <v/>
      </c>
      <c r="C34" s="20">
        <f>B34-$B$5</f>
        <v/>
      </c>
      <c r="D34" s="21">
        <f>ROUND(IF($B$9="Buy",1,-1)*C34*$B$10*$B$14,2)</f>
        <v/>
      </c>
    </row>
    <row r="35">
      <c r="A35" s="18" t="n">
        <v>0.2</v>
      </c>
      <c r="B35" s="19">
        <f>IF($B$8="Up",$B$5*(1+A35),$B$5*(1-A35))</f>
        <v/>
      </c>
      <c r="C35" s="20">
        <f>B35-$B$5</f>
        <v/>
      </c>
      <c r="D35" s="21">
        <f>ROUND(IF($B$9="Buy",1,-1)*C35*$B$10*$B$14,2)</f>
        <v/>
      </c>
    </row>
    <row r="36">
      <c r="A36" s="18" t="n">
        <v>0.25</v>
      </c>
      <c r="B36" s="19">
        <f>IF($B$8="Up",$B$5*(1+A36),$B$5*(1-A36))</f>
        <v/>
      </c>
      <c r="C36" s="20">
        <f>B36-$B$5</f>
        <v/>
      </c>
      <c r="D36" s="21">
        <f>ROUND(IF($B$9="Buy",1,-1)*C36*$B$10*$B$14,2)</f>
        <v/>
      </c>
    </row>
    <row r="37">
      <c r="A37" s="18" t="n">
        <v>0.3</v>
      </c>
      <c r="B37" s="19">
        <f>IF($B$8="Up",$B$5*(1+A37),$B$5*(1-A37))</f>
        <v/>
      </c>
      <c r="C37" s="20">
        <f>B37-$B$5</f>
        <v/>
      </c>
      <c r="D37" s="21">
        <f>ROUND(IF($B$9="Buy",1,-1)*C37*$B$10*$B$14,2)</f>
        <v/>
      </c>
    </row>
    <row r="38">
      <c r="A38" s="18" t="n">
        <v>0.5</v>
      </c>
      <c r="B38" s="19">
        <f>IF($B$8="Up",$B$5*(1+A38),$B$5*(1-A38))</f>
        <v/>
      </c>
      <c r="C38" s="20">
        <f>B38-$B$5</f>
        <v/>
      </c>
      <c r="D38" s="21">
        <f>ROUND(IF($B$9="Buy",1,-1)*C38*$B$10*$B$14,2)</f>
        <v/>
      </c>
    </row>
  </sheetData>
  <dataValidations count="3">
    <dataValidation sqref="B6" showDropDown="0" showInputMessage="0" showErrorMessage="0" allowBlank="0" type="list">
      <formula1>"Percent,Currency"</formula1>
    </dataValidation>
    <dataValidation sqref="B8" showDropDown="0" showInputMessage="0" showErrorMessage="0" allowBlank="0" type="list">
      <formula1>"Up,Down"</formula1>
    </dataValidation>
    <dataValidation sqref="B9" showDropDown="0" showInputMessage="0" showErrorMessage="0" allowBlank="0" type="list">
      <formula1>"Buy,Sell"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2026-10-16T08:12:58Z</dcterms:created>
  <dcterms:modified xsi:type="dcterms:W3CDTF">2026-10-16T08:12:58Z</dcterms:modified>
</cp:coreProperties>
</file>